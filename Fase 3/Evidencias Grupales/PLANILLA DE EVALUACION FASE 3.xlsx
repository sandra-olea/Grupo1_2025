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.olea/Documents/DUOC/2025/SEM2/PTY/Grupo1/Fase 3/"/>
    </mc:Choice>
  </mc:AlternateContent>
  <xr:revisionPtr revIDLastSave="0" documentId="8_{BD8F4663-8115-BF48-A294-57ACE58411BB}" xr6:coauthVersionLast="47" xr6:coauthVersionMax="47" xr10:uidLastSave="{00000000-0000-0000-0000-000000000000}"/>
  <bookViews>
    <workbookView xWindow="2160" yWindow="464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1" l="1"/>
  <c r="B110" i="1" l="1"/>
  <c r="B109" i="1"/>
  <c r="B108" i="1"/>
  <c r="B107" i="1"/>
  <c r="B106" i="1"/>
  <c r="B105" i="1"/>
  <c r="B104" i="1"/>
  <c r="J110" i="1"/>
  <c r="K110" i="1" s="1"/>
  <c r="H110" i="1"/>
  <c r="I110" i="1" s="1"/>
  <c r="F110" i="1"/>
  <c r="G110" i="1" s="1"/>
  <c r="D110" i="1"/>
  <c r="E110" i="1" s="1"/>
  <c r="K109" i="1"/>
  <c r="J109" i="1"/>
  <c r="H109" i="1"/>
  <c r="I109" i="1" s="1"/>
  <c r="F109" i="1"/>
  <c r="G109" i="1" s="1"/>
  <c r="D109" i="1"/>
  <c r="E109" i="1" s="1"/>
  <c r="J108" i="1"/>
  <c r="K108" i="1" s="1"/>
  <c r="I108" i="1"/>
  <c r="H108" i="1"/>
  <c r="F108" i="1"/>
  <c r="G108" i="1" s="1"/>
  <c r="D108" i="1"/>
  <c r="E108" i="1" s="1"/>
  <c r="J107" i="1"/>
  <c r="K107" i="1" s="1"/>
  <c r="H107" i="1"/>
  <c r="I107" i="1" s="1"/>
  <c r="F107" i="1"/>
  <c r="G107" i="1" s="1"/>
  <c r="E107" i="1"/>
  <c r="D107" i="1"/>
  <c r="K106" i="1"/>
  <c r="J106" i="1"/>
  <c r="H106" i="1"/>
  <c r="I106" i="1" s="1"/>
  <c r="F106" i="1"/>
  <c r="G106" i="1" s="1"/>
  <c r="D106" i="1"/>
  <c r="E106" i="1" s="1"/>
  <c r="J105" i="1"/>
  <c r="K105" i="1" s="1"/>
  <c r="H105" i="1"/>
  <c r="I105" i="1" s="1"/>
  <c r="G105" i="1"/>
  <c r="F105" i="1"/>
  <c r="D105" i="1"/>
  <c r="E105" i="1" s="1"/>
  <c r="J104" i="1"/>
  <c r="K104" i="1" s="1"/>
  <c r="H104" i="1"/>
  <c r="I104" i="1" s="1"/>
  <c r="F104" i="1"/>
  <c r="G104" i="1" s="1"/>
  <c r="E104" i="1"/>
  <c r="D104" i="1"/>
  <c r="B58" i="1"/>
  <c r="B57" i="1"/>
  <c r="B56" i="1"/>
  <c r="B55" i="1"/>
  <c r="B54" i="1"/>
  <c r="B53" i="1"/>
  <c r="B52" i="1"/>
  <c r="B50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E111" i="1" l="1"/>
  <c r="G111" i="1"/>
  <c r="I111" i="1"/>
  <c r="K111" i="1"/>
  <c r="K59" i="1"/>
  <c r="E59" i="1"/>
  <c r="G59" i="1"/>
  <c r="I59" i="1"/>
  <c r="C111" i="1" l="1"/>
  <c r="C112" i="1" s="1"/>
  <c r="D7" i="1" s="1"/>
  <c r="C59" i="1"/>
  <c r="C60" i="1" s="1"/>
  <c r="B89" i="1" l="1"/>
  <c r="B76" i="1"/>
  <c r="B63" i="1"/>
  <c r="B92" i="1"/>
  <c r="B93" i="1"/>
  <c r="B94" i="1"/>
  <c r="B95" i="1"/>
  <c r="B96" i="1"/>
  <c r="B97" i="1"/>
  <c r="B91" i="1"/>
  <c r="B79" i="1"/>
  <c r="B80" i="1"/>
  <c r="B81" i="1"/>
  <c r="B82" i="1"/>
  <c r="B83" i="1"/>
  <c r="B84" i="1"/>
  <c r="B78" i="1"/>
  <c r="J97" i="1"/>
  <c r="K97" i="1" s="1"/>
  <c r="H97" i="1"/>
  <c r="I97" i="1" s="1"/>
  <c r="F97" i="1"/>
  <c r="G97" i="1" s="1"/>
  <c r="D97" i="1"/>
  <c r="E97" i="1" s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37" i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K98" i="1"/>
  <c r="E98" i="1"/>
  <c r="I98" i="1"/>
  <c r="G98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85" i="1"/>
  <c r="C86" i="1" s="1"/>
  <c r="D5" i="1" s="1"/>
  <c r="C72" i="1"/>
  <c r="C73" i="1" s="1"/>
  <c r="D4" i="1" s="1"/>
  <c r="C98" i="1"/>
  <c r="C99" i="1" s="1"/>
  <c r="D6" i="1" s="1"/>
  <c r="C6" i="1" l="1"/>
  <c r="C7" i="1"/>
  <c r="E7" i="1" s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<sst xmlns="http://schemas.openxmlformats.org/spreadsheetml/2006/main" count="199" uniqueCount="67">
  <si>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</si>
  <si>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</si>
  <si>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</si>
  <si>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</si>
  <si>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</si>
  <si>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</si>
  <si>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</si>
  <si>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</si>
  <si>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</si>
  <si>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</si>
  <si>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</si>
  <si>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</si>
  <si>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</si>
  <si>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</si>
  <si>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</si>
  <si>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</si>
  <si>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</si>
  <si>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</si>
  <si>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</si>
  <si>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</si>
  <si>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</si>
  <si>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</si>
  <si>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</si>
  <si>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</si>
  <si>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</si>
  <si>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</si>
  <si>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</si>
  <si>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</si>
  <si>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</si>
  <si>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</si>
  <si>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</si>
  <si>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</si>
  <si>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</si>
  <si>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</si>
  <si>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</si>
  <si>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</si>
  <si>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</si>
  <si>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</si>
  <si>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</si>
  <si>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</si>
  <si>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</si>
  <si>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</si>
  <si>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</si>
  <si>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</si>
  <si>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</si>
  <si>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</si>
  <si>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</si>
  <si>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</si>
  <si>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</si>
  <si>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</si>
  <si>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</si>
  <si>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</si>
  <si>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</si>
  <si>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</si>
  <si>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</si>
  <si>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</si>
  <si>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</si>
  <si>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</si>
  <si>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</si>
  <si>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</si>
  <si>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</si>
  <si>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</si>
  <si>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</si>
  <si>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VERA AEDO DANIELA STEFANIE</t>
  </si>
  <si>
    <t>RODRIGUEZ ARELLANO BASTIAN  ALEJANDRO</t>
  </si>
  <si>
    <t>FERNANDEZ ALIAGA TAMARA ALEJANDRA</t>
  </si>
  <si>
    <t>PEREZ REYES JOSE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</si>
</sst>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2" fillId="0" borderId="15" xfId="0" applyFont="1" applyBorder="1"/>
    <xf numFmtId="0" fontId="1" fillId="3" borderId="12" xfId="0" applyFont="1" applyFill="1" applyBorder="1" applyAlignment="1">
      <alignment vertical="center" wrapText="1"/>
    </xf>
    <xf numFmtId="164" fontId="8" fillId="0" borderId="2" xfId="0" applyNumberFormat="1" applyFont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13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10"/>
  <sheetViews>
    <sheetView tabSelected="1" topLeftCell="A111" zoomScale="120" zoomScaleNormal="120" workbookViewId="0">
      <selection activeCell="B105" sqref="B105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59" t="s">
        <v>63</v>
      </c>
      <c r="C4" s="30">
        <f>C21</f>
        <v>7</v>
      </c>
      <c r="D4" s="36">
        <f>C73</f>
        <v>7</v>
      </c>
      <c r="E4" s="35">
        <f>C4*C$2+D4*D$2</f>
        <v>7</v>
      </c>
    </row>
    <row r="5" spans="1:11" x14ac:dyDescent="0.2">
      <c r="A5" s="3">
        <v>2</v>
      </c>
      <c r="B5" s="59" t="s">
        <v>64</v>
      </c>
      <c r="C5" s="30">
        <f>C34</f>
        <v>7</v>
      </c>
      <c r="D5" s="36">
        <f>C86</f>
        <v>7</v>
      </c>
      <c r="E5" s="35">
        <f t="shared" ref="E5:E6" si="0">C5*C$2+D5*D$2</f>
        <v>7</v>
      </c>
    </row>
    <row r="6" spans="1:11" x14ac:dyDescent="0.2">
      <c r="A6" s="3">
        <v>3</v>
      </c>
      <c r="B6" s="59" t="s">
        <v>65</v>
      </c>
      <c r="C6" s="30">
        <f>C47</f>
        <v>7</v>
      </c>
      <c r="D6" s="36">
        <f>C99</f>
        <v>7</v>
      </c>
      <c r="E6" s="35">
        <f t="shared" si="0"/>
        <v>7</v>
      </c>
    </row>
    <row r="7" spans="1:11" ht="15" customHeight="1" x14ac:dyDescent="0.2">
      <c r="B7" s="59" t="s">
        <v>66</v>
      </c>
      <c r="C7" s="30">
        <f>C47</f>
        <v>7</v>
      </c>
      <c r="D7" s="36">
        <f>C112</f>
        <v>7</v>
      </c>
      <c r="E7" s="35">
        <f t="shared" ref="E7" si="1">C7*C$2+D7*D$2</f>
        <v>7</v>
      </c>
    </row>
    <row r="11" spans="1:11" ht="19" outlineLevel="1" x14ac:dyDescent="0.2">
      <c r="A11" s="49" t="s">
        <v>4</v>
      </c>
      <c r="B11" s="11" t="str">
        <f>B4</f>
        <v>VERA AEDO DANIELA STEFANIE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6" outlineLevel="1" x14ac:dyDescent="0.2">
      <c r="A13" s="42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5" customHeight="1" outlineLevel="1" x14ac:dyDescent="0.2">
      <c r="A14" s="42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6" outlineLevel="1" x14ac:dyDescent="0.2">
      <c r="A15" s="42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outlineLevel="1" x14ac:dyDescent="0.2">
      <c r="A16" s="42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outlineLevel="1" x14ac:dyDescent="0.2">
      <c r="A17" s="42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2"/>
        <v>X</v>
      </c>
      <c r="E17" s="12">
        <f>IF(D17="X",100*0.05,"")</f>
        <v>5</v>
      </c>
      <c r="F17" s="12" t="str">
        <f t="shared" si="3"/>
        <v/>
      </c>
      <c r="G17" s="12" t="str">
        <f>IF(F17="X",60*0.05,"")</f>
        <v/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26" outlineLevel="1" x14ac:dyDescent="0.2">
      <c r="A18" s="42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6" outlineLevel="1" x14ac:dyDescent="0.2">
      <c r="A19" s="42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25">
      <c r="A20" s="41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3"/>
      <c r="B21" s="20" t="s">
        <v>13</v>
      </c>
      <c r="C21" s="14">
        <f>VLOOKUP(C20,ESCALA_IEP!A2:B202,2,FALSE)</f>
        <v>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9" t="s">
        <v>4</v>
      </c>
      <c r="B24" s="11" t="str">
        <f>B5</f>
        <v>RODRIGUEZ ARELLANO BASTIAN  ALEJANDRO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">
      <c r="A26" s="42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">
      <c r="A27" s="42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">
      <c r="A28" s="42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">
      <c r="A29" s="42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">
      <c r="A30" s="42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">
      <c r="A31" s="42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">
      <c r="A32" s="42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25">
      <c r="A33" s="41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3"/>
      <c r="B34" s="20" t="s">
        <v>13</v>
      </c>
      <c r="C34" s="14">
        <f>VLOOKUP(C33,ESCALA_IEP!A15:B215,2,FALSE)</f>
        <v>7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9" t="s">
        <v>4</v>
      </c>
      <c r="B37" s="11" t="str">
        <f>B6</f>
        <v>FERNANDEZ ALIAGA TAMARA ALEJANDRA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">
      <c r="A39" s="42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">
      <c r="A40" s="42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">
      <c r="A41" s="42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">
      <c r="A42" s="42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">
      <c r="A43" s="42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">
      <c r="A44" s="42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">
      <c r="A45" s="42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25">
      <c r="A46" s="41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3"/>
      <c r="B47" s="20" t="s">
        <v>13</v>
      </c>
      <c r="C47" s="14">
        <f>VLOOKUP(C46,ESCALA_IEP!A28:B228,2,FALSE)</f>
        <v>7</v>
      </c>
    </row>
    <row r="48" spans="1:11" ht="24" customHeight="1" x14ac:dyDescent="0.25">
      <c r="A48" s="37"/>
      <c r="B48" s="20"/>
      <c r="C48" s="39"/>
    </row>
    <row r="49" spans="1:11" ht="24" customHeight="1" x14ac:dyDescent="0.25">
      <c r="A49" s="37"/>
      <c r="B49" s="20"/>
      <c r="C49" s="39"/>
    </row>
    <row r="50" spans="1:11" ht="24" customHeight="1" x14ac:dyDescent="0.2">
      <c r="A50" s="49" t="s">
        <v>4</v>
      </c>
      <c r="B50" s="11" t="str">
        <f>B7</f>
        <v>PEREZ REYES JOSE MIGUEL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">
      <c r="A52" s="42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2">
      <c r="A53" s="42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">
      <c r="A54" s="42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">
      <c r="A55" s="42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">
      <c r="A56" s="42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2">
      <c r="A57" s="42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2">
      <c r="A58" s="42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25">
      <c r="A59" s="41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3"/>
      <c r="B60" s="20" t="s">
        <v>13</v>
      </c>
      <c r="C60" s="14">
        <f>VLOOKUP(C59,ESCALA_IEP!A39:B239,2,FALSE)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0" t="s">
        <v>14</v>
      </c>
      <c r="B63" s="11" t="str">
        <f>B4</f>
        <v>VERA AEDO DANIELA STEFANIE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">
      <c r="A65" s="42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2">
      <c r="A66" s="42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">
      <c r="A67" s="42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">
      <c r="A68" s="42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2">
      <c r="A69" s="42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2">
      <c r="A70" s="42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2">
      <c r="A71" s="42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25">
      <c r="A72" s="41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3"/>
      <c r="B73" s="20" t="s">
        <v>13</v>
      </c>
      <c r="C73" s="14">
        <f>VLOOKUP(C72,ESCALA_IEP!A41:B241,2,FALSE)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0" t="s">
        <v>15</v>
      </c>
      <c r="B76" s="11" t="str">
        <f>B5</f>
        <v>RODRIGUEZ ARELLANO BASTIAN  ALEJANDRO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">
      <c r="A78" s="42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2">
      <c r="A79" s="42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">
      <c r="A80" s="42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">
      <c r="A81" s="42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2">
      <c r="A82" s="42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2">
      <c r="A83" s="42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2">
      <c r="A84" s="42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25">
      <c r="A85" s="41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3"/>
      <c r="B86" s="20" t="s">
        <v>13</v>
      </c>
      <c r="C86" s="14">
        <f>VLOOKUP(C85,ESCALA_IEP!A54:B254,2,FALSE)</f>
        <v>7</v>
      </c>
    </row>
    <row r="87" spans="1:11" ht="15.75" customHeight="1" x14ac:dyDescent="0.2"/>
    <row r="88" spans="1:11" ht="15.75" customHeight="1" x14ac:dyDescent="0.2"/>
    <row r="89" spans="1:11" ht="24" customHeight="1" x14ac:dyDescent="0.2">
      <c r="A89" s="40" t="s">
        <v>16</v>
      </c>
      <c r="B89" s="11" t="str">
        <f>B6</f>
        <v>FERNANDEZ ALIAGA TAMARA ALEJANDRA</v>
      </c>
      <c r="C89" s="44" t="s">
        <v>5</v>
      </c>
      <c r="D89" s="45" t="s">
        <v>6</v>
      </c>
      <c r="E89" s="46"/>
      <c r="F89" s="46"/>
      <c r="G89" s="46"/>
      <c r="H89" s="46"/>
      <c r="I89" s="46"/>
      <c r="J89" s="46"/>
      <c r="K89" s="47"/>
    </row>
    <row r="90" spans="1:11" ht="24" customHeight="1" x14ac:dyDescent="0.2">
      <c r="A90" s="41"/>
      <c r="B90" s="15" t="s">
        <v>7</v>
      </c>
      <c r="C90" s="43"/>
      <c r="D90" s="45" t="s">
        <v>8</v>
      </c>
      <c r="E90" s="47"/>
      <c r="F90" s="45" t="s">
        <v>9</v>
      </c>
      <c r="G90" s="47"/>
      <c r="H90" s="48" t="s">
        <v>10</v>
      </c>
      <c r="I90" s="47"/>
      <c r="J90" s="45" t="s">
        <v>11</v>
      </c>
      <c r="K90" s="47"/>
    </row>
    <row r="91" spans="1:11" ht="24" customHeight="1" x14ac:dyDescent="0.2">
      <c r="A91" s="42"/>
      <c r="B91" s="18" t="str">
        <f>RUBRICA!A4</f>
        <v xml:space="preserve">1. Presenta el proyecto considerando la relevancia, objetivos, metodología y desarrollo, de acuerdo a los estándares de calidad de la disciplina. </v>
      </c>
      <c r="C91" s="16" t="s">
        <v>8</v>
      </c>
      <c r="D91" s="12" t="str">
        <f t="shared" ref="D91:D95" si="33">IF($C91=CL,"X","")</f>
        <v>X</v>
      </c>
      <c r="E91" s="12">
        <f>IF(D91="X",100*0.15,"")</f>
        <v>15</v>
      </c>
      <c r="F91" s="12" t="str">
        <f t="shared" ref="F91:F95" si="34">IF($C91=L,"X","")</f>
        <v/>
      </c>
      <c r="G91" s="12" t="str">
        <f>IF(F91="X",60*0.15,"")</f>
        <v/>
      </c>
      <c r="H91" s="12" t="str">
        <f t="shared" ref="H91:H95" si="35">IF($C91=ML,"X","")</f>
        <v/>
      </c>
      <c r="I91" s="12" t="str">
        <f>IF(H91="X",30*0.15,"")</f>
        <v/>
      </c>
      <c r="J91" s="12" t="str">
        <f t="shared" ref="J91:J95" si="36">IF($C91=NL,"X","")</f>
        <v/>
      </c>
      <c r="K91" s="12" t="str">
        <f t="shared" ref="K91:K97" si="37">IF($J91="X",0,"")</f>
        <v/>
      </c>
    </row>
    <row r="92" spans="1:11" ht="24" customHeight="1" x14ac:dyDescent="0.2">
      <c r="A92" s="42"/>
      <c r="B92" s="18" t="str">
        <f>RUBRICA!A5</f>
        <v xml:space="preserve">2. Presenta las evidencias del Proyecto APT, dando cuenta del cumplimiento de los objetivos y de acuerdo a los estándares de la disciplina. </v>
      </c>
      <c r="C92" s="16" t="s">
        <v>8</v>
      </c>
      <c r="D92" s="12" t="str">
        <f t="shared" si="33"/>
        <v>X</v>
      </c>
      <c r="E92" s="12">
        <f>IF(D92="X",100*0.25,"")</f>
        <v>25</v>
      </c>
      <c r="F92" s="12" t="str">
        <f t="shared" si="34"/>
        <v/>
      </c>
      <c r="G92" s="12" t="str">
        <f>IF(F92="X",60*0.25,"")</f>
        <v/>
      </c>
      <c r="H92" s="12" t="str">
        <f t="shared" si="35"/>
        <v/>
      </c>
      <c r="I92" s="12" t="str">
        <f>IF(H92="X",30*0.25,"")</f>
        <v/>
      </c>
      <c r="J92" s="12" t="str">
        <f t="shared" si="36"/>
        <v/>
      </c>
      <c r="K92" s="12" t="str">
        <f t="shared" si="37"/>
        <v/>
      </c>
    </row>
    <row r="93" spans="1:11" ht="24" customHeight="1" x14ac:dyDescent="0.2">
      <c r="A93" s="42"/>
      <c r="B93" s="18" t="str">
        <f>RUBRICA!A6</f>
        <v>3. Responde las preguntas realizadas por la comisión, cumpliendo con los estándares de calidad de la disciplina.</v>
      </c>
      <c r="C93" s="16" t="s">
        <v>8</v>
      </c>
      <c r="D93" s="12" t="str">
        <f t="shared" si="33"/>
        <v>X</v>
      </c>
      <c r="E93" s="12">
        <f>IF(D93="X",100*0.2,"")</f>
        <v>20</v>
      </c>
      <c r="F93" s="12" t="str">
        <f t="shared" si="34"/>
        <v/>
      </c>
      <c r="G93" s="12" t="str">
        <f>IF(F93="X",60*0.2,"")</f>
        <v/>
      </c>
      <c r="H93" s="12" t="str">
        <f t="shared" si="35"/>
        <v/>
      </c>
      <c r="I93" s="12" t="str">
        <f>IF(H93="X",30*0.2,"")</f>
        <v/>
      </c>
      <c r="J93" s="12" t="str">
        <f t="shared" si="36"/>
        <v/>
      </c>
      <c r="K93" s="12" t="str">
        <f t="shared" si="37"/>
        <v/>
      </c>
    </row>
    <row r="94" spans="1:11" ht="24" customHeight="1" x14ac:dyDescent="0.2">
      <c r="A94" s="42"/>
      <c r="B94" s="18" t="str">
        <f>RUBRICA!A7</f>
        <v>4. Expone el Proyecto APT, considerando el formato y el tiempo establecido para la presentación.</v>
      </c>
      <c r="C94" s="16" t="s">
        <v>8</v>
      </c>
      <c r="D94" s="12" t="str">
        <f t="shared" si="33"/>
        <v>X</v>
      </c>
      <c r="E94" s="12">
        <f>IF(D94="X",100*0.05,"")</f>
        <v>5</v>
      </c>
      <c r="F94" s="12" t="str">
        <f t="shared" si="34"/>
        <v/>
      </c>
      <c r="G94" s="12" t="str">
        <f>IF(F94="X",60*0.05,"")</f>
        <v/>
      </c>
      <c r="H94" s="12" t="str">
        <f t="shared" si="35"/>
        <v/>
      </c>
      <c r="I94" s="12" t="str">
        <f>IF(H94="X",30*0.05,"")</f>
        <v/>
      </c>
      <c r="J94" s="12" t="str">
        <f t="shared" si="36"/>
        <v/>
      </c>
      <c r="K94" s="12" t="str">
        <f t="shared" si="37"/>
        <v/>
      </c>
    </row>
    <row r="95" spans="1:11" ht="24" customHeight="1" x14ac:dyDescent="0.2">
      <c r="A95" s="42"/>
      <c r="B95" s="18" t="str">
        <f>RUBRICA!A8</f>
        <v>5. Expresa sus ideas con fluidez, claridad y precisión, utilizando lenguaje técnico propio de la disciplina.</v>
      </c>
      <c r="C95" s="16" t="s">
        <v>8</v>
      </c>
      <c r="D95" s="12" t="str">
        <f t="shared" si="33"/>
        <v>X</v>
      </c>
      <c r="E95" s="12">
        <f>IF(D95="X",100*0.05,"")</f>
        <v>5</v>
      </c>
      <c r="F95" s="12" t="str">
        <f t="shared" si="34"/>
        <v/>
      </c>
      <c r="G95" s="12" t="str">
        <f>IF(F95="X",60*0.05,"")</f>
        <v/>
      </c>
      <c r="H95" s="12" t="str">
        <f t="shared" si="35"/>
        <v/>
      </c>
      <c r="I95" s="12" t="str">
        <f>IF(H95="X",30*0.05,"")</f>
        <v/>
      </c>
      <c r="J95" s="12" t="str">
        <f t="shared" si="36"/>
        <v/>
      </c>
      <c r="K95" s="12" t="str">
        <f t="shared" si="37"/>
        <v/>
      </c>
    </row>
    <row r="96" spans="1:11" ht="24" customHeight="1" x14ac:dyDescent="0.2">
      <c r="A96" s="42"/>
      <c r="B96" s="18" t="str">
        <f>RUBRICA!A9</f>
        <v>6. Entrega la documentación y evidencias requerida por la asignatura de acuerdo a la estructura y nombres solicitados, guardando todas las evidencias de avances en Git</v>
      </c>
      <c r="C96" s="16" t="s">
        <v>8</v>
      </c>
      <c r="D96" s="12" t="str">
        <f>IF($C96=CL,"X","")</f>
        <v>X</v>
      </c>
      <c r="E96" s="12">
        <f>IF(D96="X",100*0.2,"")</f>
        <v>20</v>
      </c>
      <c r="F96" s="12" t="str">
        <f>IF($C96=L,"X","")</f>
        <v/>
      </c>
      <c r="G96" s="12" t="str">
        <f>IF(F96="X",60*0.2,"")</f>
        <v/>
      </c>
      <c r="H96" s="12" t="str">
        <f>IF($C96=ML,"X","")</f>
        <v/>
      </c>
      <c r="I96" s="12" t="str">
        <f>IF(H96="X",30*0.2,"")</f>
        <v/>
      </c>
      <c r="J96" s="12" t="str">
        <f>IF($C96=NL,"X","")</f>
        <v/>
      </c>
      <c r="K96" s="12" t="str">
        <f t="shared" si="37"/>
        <v/>
      </c>
    </row>
    <row r="97" spans="1:11" ht="24" customHeight="1" x14ac:dyDescent="0.2">
      <c r="A97" s="42"/>
      <c r="B97" s="18" t="str">
        <f>RUBRICA!A10</f>
        <v xml:space="preserve">7. Expone el tema utilizando un lenguaje técnico disciplinar al presentar la propuesta y responde evidenciando un manejo de la información. </v>
      </c>
      <c r="C97" s="16" t="s">
        <v>8</v>
      </c>
      <c r="D97" s="12" t="str">
        <f>IF($C97=CL,"X","")</f>
        <v>X</v>
      </c>
      <c r="E97" s="12">
        <f>IF(D97="X",100*0.1,"")</f>
        <v>10</v>
      </c>
      <c r="F97" s="12" t="str">
        <f>IF($C97=L,"X","")</f>
        <v/>
      </c>
      <c r="G97" s="12" t="str">
        <f>IF(F97="X",60*0.1,"")</f>
        <v/>
      </c>
      <c r="H97" s="12" t="str">
        <f>IF($C97=ML,"X","")</f>
        <v/>
      </c>
      <c r="I97" s="12" t="str">
        <f>IF(H97="X",30*0.1,"")</f>
        <v/>
      </c>
      <c r="J97" s="12" t="str">
        <f>IF($C97=NL,"X","")</f>
        <v/>
      </c>
      <c r="K97" s="12" t="str">
        <f t="shared" si="37"/>
        <v/>
      </c>
    </row>
    <row r="98" spans="1:11" ht="24" customHeight="1" x14ac:dyDescent="0.25">
      <c r="A98" s="41"/>
      <c r="B98" s="17" t="s">
        <v>12</v>
      </c>
      <c r="C98" s="21">
        <f>E98+G98+I98+K98</f>
        <v>100</v>
      </c>
      <c r="D98" s="13"/>
      <c r="E98" s="13">
        <f>SUM(E91:E97)</f>
        <v>100</v>
      </c>
      <c r="F98" s="13"/>
      <c r="G98" s="13">
        <f>SUM(G91:G97)</f>
        <v>0</v>
      </c>
      <c r="H98" s="13"/>
      <c r="I98" s="13">
        <f>SUM(I91:I97)</f>
        <v>0</v>
      </c>
      <c r="J98" s="13"/>
      <c r="K98" s="13">
        <f>SUM(K91:K97)</f>
        <v>0</v>
      </c>
    </row>
    <row r="99" spans="1:11" ht="24" customHeight="1" x14ac:dyDescent="0.25">
      <c r="A99" s="43"/>
      <c r="B99" s="20" t="s">
        <v>13</v>
      </c>
      <c r="C99" s="14">
        <f>VLOOKUP(C98,ESCALA_IEP!A67:B267,2,FALSE)</f>
        <v>7</v>
      </c>
    </row>
    <row r="100" spans="1:11" ht="15.75" customHeight="1" x14ac:dyDescent="0.2"/>
    <row r="101" spans="1:11" ht="15.75" customHeight="1" x14ac:dyDescent="0.2"/>
    <row r="102" spans="1:11" ht="24" customHeight="1" x14ac:dyDescent="0.2">
      <c r="A102" s="40" t="s">
        <v>16</v>
      </c>
      <c r="B102" s="11" t="str">
        <f>B7</f>
        <v>PEREZ REYES JOSE MIGUEL</v>
      </c>
      <c r="C102" s="44" t="s">
        <v>5</v>
      </c>
      <c r="D102" s="45" t="s">
        <v>6</v>
      </c>
      <c r="E102" s="46"/>
      <c r="F102" s="46"/>
      <c r="G102" s="46"/>
      <c r="H102" s="46"/>
      <c r="I102" s="46"/>
      <c r="J102" s="46"/>
      <c r="K102" s="47"/>
    </row>
    <row r="103" spans="1:11" ht="24" customHeight="1" x14ac:dyDescent="0.2">
      <c r="A103" s="41"/>
      <c r="B103" s="15" t="s">
        <v>7</v>
      </c>
      <c r="C103" s="43"/>
      <c r="D103" s="45" t="s">
        <v>8</v>
      </c>
      <c r="E103" s="47"/>
      <c r="F103" s="45" t="s">
        <v>9</v>
      </c>
      <c r="G103" s="47"/>
      <c r="H103" s="48" t="s">
        <v>10</v>
      </c>
      <c r="I103" s="47"/>
      <c r="J103" s="45" t="s">
        <v>11</v>
      </c>
      <c r="K103" s="47"/>
    </row>
    <row r="104" spans="1:11" ht="24" customHeight="1" x14ac:dyDescent="0.2">
      <c r="A104" s="42"/>
      <c r="B104" s="18" t="str">
        <f>RUBRICA!A4</f>
        <v xml:space="preserve">1. Presenta el proyecto considerando la relevancia, objetivos, metodología y desarrollo, de acuerdo a los estándares de calidad de la disciplina. </v>
      </c>
      <c r="C104" s="16" t="s">
        <v>8</v>
      </c>
      <c r="D104" s="12" t="str">
        <f t="shared" ref="D104:D108" si="38">IF($C104=CL,"X","")</f>
        <v>X</v>
      </c>
      <c r="E104" s="12">
        <f>IF(D104="X",100*0.15,"")</f>
        <v>15</v>
      </c>
      <c r="F104" s="12" t="str">
        <f t="shared" ref="F104:F108" si="39">IF($C104=L,"X","")</f>
        <v/>
      </c>
      <c r="G104" s="12" t="str">
        <f>IF(F104="X",60*0.15,"")</f>
        <v/>
      </c>
      <c r="H104" s="12" t="str">
        <f t="shared" ref="H104:H108" si="40">IF($C104=ML,"X","")</f>
        <v/>
      </c>
      <c r="I104" s="12" t="str">
        <f>IF(H104="X",30*0.15,"")</f>
        <v/>
      </c>
      <c r="J104" s="12" t="str">
        <f t="shared" ref="J104:J108" si="41">IF($C104=NL,"X","")</f>
        <v/>
      </c>
      <c r="K104" s="12" t="str">
        <f t="shared" ref="K104:K110" si="42">IF($J104="X",0,"")</f>
        <v/>
      </c>
    </row>
    <row r="105" spans="1:11" ht="24" customHeight="1" x14ac:dyDescent="0.2">
      <c r="A105" s="42"/>
      <c r="B105" s="18" t="str">
        <f>RUBRICA!A5</f>
        <v xml:space="preserve">2. Presenta las evidencias del Proyecto APT, dando cuenta del cumplimiento de los objetivos y de acuerdo a los estándares de la disciplina. </v>
      </c>
      <c r="C105" s="16" t="s">
        <v>8</v>
      </c>
      <c r="D105" s="12" t="str">
        <f t="shared" si="38"/>
        <v>X</v>
      </c>
      <c r="E105" s="12">
        <f>IF(D105="X",100*0.25,"")</f>
        <v>25</v>
      </c>
      <c r="F105" s="12" t="str">
        <f t="shared" si="39"/>
        <v/>
      </c>
      <c r="G105" s="12" t="str">
        <f>IF(F105="X",60*0.25,"")</f>
        <v/>
      </c>
      <c r="H105" s="12" t="str">
        <f t="shared" si="40"/>
        <v/>
      </c>
      <c r="I105" s="12" t="str">
        <f>IF(H105="X",30*0.25,"")</f>
        <v/>
      </c>
      <c r="J105" s="12" t="str">
        <f t="shared" si="41"/>
        <v/>
      </c>
      <c r="K105" s="12" t="str">
        <f t="shared" si="42"/>
        <v/>
      </c>
    </row>
    <row r="106" spans="1:11" ht="24" customHeight="1" x14ac:dyDescent="0.2">
      <c r="A106" s="42"/>
      <c r="B106" s="18" t="str">
        <f>RUBRICA!A6</f>
        <v>3. Responde las preguntas realizadas por la comisión, cumpliendo con los estándares de calidad de la disciplina.</v>
      </c>
      <c r="C106" s="16" t="s">
        <v>8</v>
      </c>
      <c r="D106" s="12" t="str">
        <f t="shared" si="38"/>
        <v>X</v>
      </c>
      <c r="E106" s="12">
        <f>IF(D106="X",100*0.2,"")</f>
        <v>20</v>
      </c>
      <c r="F106" s="12" t="str">
        <f t="shared" si="39"/>
        <v/>
      </c>
      <c r="G106" s="12" t="str">
        <f>IF(F106="X",60*0.2,"")</f>
        <v/>
      </c>
      <c r="H106" s="12" t="str">
        <f t="shared" si="40"/>
        <v/>
      </c>
      <c r="I106" s="12" t="str">
        <f>IF(H106="X",30*0.2,"")</f>
        <v/>
      </c>
      <c r="J106" s="12" t="str">
        <f t="shared" si="41"/>
        <v/>
      </c>
      <c r="K106" s="12" t="str">
        <f t="shared" si="42"/>
        <v/>
      </c>
    </row>
    <row r="107" spans="1:11" ht="24" customHeight="1" x14ac:dyDescent="0.2">
      <c r="A107" s="42"/>
      <c r="B107" s="18" t="str">
        <f>RUBRICA!A7</f>
        <v>4. Expone el Proyecto APT, considerando el formato y el tiempo establecido para la presentación.</v>
      </c>
      <c r="C107" s="16" t="s">
        <v>8</v>
      </c>
      <c r="D107" s="12" t="str">
        <f t="shared" si="38"/>
        <v>X</v>
      </c>
      <c r="E107" s="12">
        <f>IF(D107="X",100*0.05,"")</f>
        <v>5</v>
      </c>
      <c r="F107" s="12" t="str">
        <f t="shared" si="39"/>
        <v/>
      </c>
      <c r="G107" s="12" t="str">
        <f>IF(F107="X",60*0.05,"")</f>
        <v/>
      </c>
      <c r="H107" s="12" t="str">
        <f t="shared" si="40"/>
        <v/>
      </c>
      <c r="I107" s="12" t="str">
        <f>IF(H107="X",30*0.05,"")</f>
        <v/>
      </c>
      <c r="J107" s="12" t="str">
        <f t="shared" si="41"/>
        <v/>
      </c>
      <c r="K107" s="12" t="str">
        <f t="shared" si="42"/>
        <v/>
      </c>
    </row>
    <row r="108" spans="1:11" ht="24" customHeight="1" x14ac:dyDescent="0.2">
      <c r="A108" s="42"/>
      <c r="B108" s="18" t="str">
        <f>RUBRICA!A8</f>
        <v>5. Expresa sus ideas con fluidez, claridad y precisión, utilizando lenguaje técnico propio de la disciplina.</v>
      </c>
      <c r="C108" s="16" t="s">
        <v>8</v>
      </c>
      <c r="D108" s="12" t="str">
        <f t="shared" si="38"/>
        <v>X</v>
      </c>
      <c r="E108" s="12">
        <f>IF(D108="X",100*0.05,"")</f>
        <v>5</v>
      </c>
      <c r="F108" s="12" t="str">
        <f t="shared" si="39"/>
        <v/>
      </c>
      <c r="G108" s="12" t="str">
        <f>IF(F108="X",60*0.05,"")</f>
        <v/>
      </c>
      <c r="H108" s="12" t="str">
        <f t="shared" si="40"/>
        <v/>
      </c>
      <c r="I108" s="12" t="str">
        <f>IF(H108="X",30*0.05,"")</f>
        <v/>
      </c>
      <c r="J108" s="12" t="str">
        <f t="shared" si="41"/>
        <v/>
      </c>
      <c r="K108" s="12" t="str">
        <f t="shared" si="42"/>
        <v/>
      </c>
    </row>
    <row r="109" spans="1:11" ht="24" customHeight="1" x14ac:dyDescent="0.2">
      <c r="A109" s="42"/>
      <c r="B109" s="18" t="str">
        <f>RUBRICA!A9</f>
        <v>6. Entrega la documentación y evidencias requerida por la asignatura de acuerdo a la estructura y nombres solicitados, guardando todas las evidencias de avances en Git</v>
      </c>
      <c r="C109" s="16" t="s">
        <v>8</v>
      </c>
      <c r="D109" s="12" t="str">
        <f>IF($C109=CL,"X","")</f>
        <v>X</v>
      </c>
      <c r="E109" s="12">
        <f>IF(D109="X",100*0.2,"")</f>
        <v>20</v>
      </c>
      <c r="F109" s="12" t="str">
        <f>IF($C109=L,"X","")</f>
        <v/>
      </c>
      <c r="G109" s="12" t="str">
        <f>IF(F109="X",60*0.2,"")</f>
        <v/>
      </c>
      <c r="H109" s="12" t="str">
        <f>IF($C109=ML,"X","")</f>
        <v/>
      </c>
      <c r="I109" s="12" t="str">
        <f>IF(H109="X",30*0.2,"")</f>
        <v/>
      </c>
      <c r="J109" s="12" t="str">
        <f>IF($C109=NL,"X","")</f>
        <v/>
      </c>
      <c r="K109" s="12" t="str">
        <f t="shared" si="42"/>
        <v/>
      </c>
    </row>
    <row r="110" spans="1:11" ht="24" customHeight="1" x14ac:dyDescent="0.2">
      <c r="A110" s="42"/>
      <c r="B110" s="18" t="str">
        <f>RUBRICA!A10</f>
        <v xml:space="preserve">7. Expone el tema utilizando un lenguaje técnico disciplinar al presentar la propuesta y responde evidenciando un manejo de la información. </v>
      </c>
      <c r="C110" s="16" t="s">
        <v>8</v>
      </c>
      <c r="D110" s="12" t="str">
        <f>IF($C110=CL,"X","")</f>
        <v>X</v>
      </c>
      <c r="E110" s="12">
        <f>IF(D110="X",100*0.1,"")</f>
        <v>10</v>
      </c>
      <c r="F110" s="12" t="str">
        <f>IF($C110=L,"X","")</f>
        <v/>
      </c>
      <c r="G110" s="12" t="str">
        <f>IF(F110="X",60*0.1,"")</f>
        <v/>
      </c>
      <c r="H110" s="12" t="str">
        <f>IF($C110=ML,"X","")</f>
        <v/>
      </c>
      <c r="I110" s="12" t="str">
        <f>IF(H110="X",30*0.1,"")</f>
        <v/>
      </c>
      <c r="J110" s="12" t="str">
        <f>IF($C110=NL,"X","")</f>
        <v/>
      </c>
      <c r="K110" s="12" t="str">
        <f t="shared" si="42"/>
        <v/>
      </c>
    </row>
    <row r="111" spans="1:11" ht="24" customHeight="1" x14ac:dyDescent="0.25">
      <c r="A111" s="41"/>
      <c r="B111" s="17" t="s">
        <v>12</v>
      </c>
      <c r="C111" s="21">
        <f>E111+G111+I111+K111</f>
        <v>100</v>
      </c>
      <c r="D111" s="13"/>
      <c r="E111" s="13">
        <f>SUM(E104:E110)</f>
        <v>100</v>
      </c>
      <c r="F111" s="13"/>
      <c r="G111" s="13">
        <f>SUM(G104:G110)</f>
        <v>0</v>
      </c>
      <c r="H111" s="13"/>
      <c r="I111" s="13">
        <f>SUM(I104:I110)</f>
        <v>0</v>
      </c>
      <c r="J111" s="13"/>
      <c r="K111" s="13">
        <f>SUM(K104:K110)</f>
        <v>0</v>
      </c>
    </row>
    <row r="112" spans="1:11" ht="24" customHeight="1" x14ac:dyDescent="0.25">
      <c r="A112" s="43"/>
      <c r="B112" s="20" t="s">
        <v>13</v>
      </c>
      <c r="C112" s="14">
        <f>VLOOKUP(C111,ESCALA_IEP!A91:B291,2,FALSE)</f>
        <v>7</v>
      </c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</sheetData>
  <mergeCells count="56">
    <mergeCell ref="A89:A99"/>
    <mergeCell ref="C89:C90"/>
    <mergeCell ref="D89:K89"/>
    <mergeCell ref="D90:E90"/>
    <mergeCell ref="F90:G90"/>
    <mergeCell ref="H90:I90"/>
    <mergeCell ref="J90:K90"/>
    <mergeCell ref="A76:A86"/>
    <mergeCell ref="C76:C77"/>
    <mergeCell ref="D76:K76"/>
    <mergeCell ref="D77:E77"/>
    <mergeCell ref="F77:G77"/>
    <mergeCell ref="H77:I77"/>
    <mergeCell ref="J77:K77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A102:A112"/>
    <mergeCell ref="C102:C103"/>
    <mergeCell ref="D102:K102"/>
    <mergeCell ref="D103:E103"/>
    <mergeCell ref="F103:G103"/>
    <mergeCell ref="H103:I103"/>
    <mergeCell ref="J103:K103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C91:C97 C52:C58 C104:C110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ht="16" x14ac:dyDescent="0.2">
      <c r="A2" s="51"/>
      <c r="B2" s="55" t="s">
        <v>20</v>
      </c>
      <c r="C2" s="55" t="s">
        <v>21</v>
      </c>
      <c r="D2" s="24" t="s">
        <v>22</v>
      </c>
      <c r="E2" s="25" t="s">
        <v>11</v>
      </c>
      <c r="F2" s="51"/>
    </row>
    <row r="3" spans="1:6" x14ac:dyDescent="0.2">
      <c r="A3" s="51"/>
      <c r="B3" s="56"/>
      <c r="C3" s="56"/>
      <c r="D3" s="26">
        <v>0.3</v>
      </c>
      <c r="E3" s="26">
        <v>0</v>
      </c>
      <c r="F3" s="51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7" t="s">
        <v>60</v>
      </c>
      <c r="B1" s="4" t="s">
        <v>12</v>
      </c>
      <c r="C1" s="5"/>
      <c r="D1" s="5"/>
      <c r="E1" s="6"/>
    </row>
    <row r="2" spans="1:5" ht="49" thickBot="1" x14ac:dyDescent="0.25">
      <c r="A2" s="58"/>
      <c r="B2" s="7" t="s">
        <v>8</v>
      </c>
      <c r="C2" s="8" t="s">
        <v>9</v>
      </c>
      <c r="D2" s="19" t="s">
        <v>61</v>
      </c>
      <c r="E2" s="38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Sandra Olea Jara</cp:lastModifiedBy>
  <cp:revision/>
  <dcterms:created xsi:type="dcterms:W3CDTF">2023-08-07T04:08:01Z</dcterms:created>
  <dcterms:modified xsi:type="dcterms:W3CDTF">2025-12-09T18:39:30Z</dcterms:modified>
  <cp:category/>
  <cp:contentStatus/>
</cp:coreProperties>
</file>